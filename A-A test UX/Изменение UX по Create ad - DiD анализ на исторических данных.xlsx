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" sheetId="1" r:id="rId5"/>
    <sheet state="visible" name="1 метрика (CR new)" sheetId="2" r:id="rId6"/>
    <sheet state="visible" name="2 метрика (CR old)" sheetId="3" r:id="rId7"/>
    <sheet state="visible" name="3 метрика (Кол-во кампаний на п" sheetId="4" r:id="rId8"/>
    <sheet state="visible" name="4 метрика (time to create camp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tc={1160c35c-79bb-43c8-902a-7583dcf385c0}</author>
    <author>tc={b3fa8803-a635-47e8-b89b-fb8446647299}</author>
  </authors>
  <commentList>
    <comment authorId="0" xr:uid="{1160c35c-79bb-43c8-902a-7583dcf385c0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это интерпретировать в общем виде:
Положительное Δ означает, что тестовая группа показала себя лучше, чем можно было ожидать исходя из поведения контроля.
Отрицательное Δ означает, что тестовая группа ухудшилась сильнее, чем контроль.
</t>
      </text>
    </comment>
    <comment authorId="1" xr:uid="{b3fa8803-a635-47e8-b89b-fb8446647299}" ref="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читать таблицу
Каждая группа (тест и контроль) имеет свою конверсию в три периода:
до теста (pre),
в тестовую неделю (test),
после теста (post).
Для каждой группы считаем, как изменилась конверсия относительно pre:
Во время теста
Δ𝑔𝑡𝑒𝑠𝑡=𝐶𝑅𝑔,test−𝐶𝑅𝑔,pre
После теста
Δ𝑔𝑝𝑜𝑠𝑡=𝐶𝑅𝑔,post−𝐶𝑅𝑔,pre
DiD-эффект показывает, насколько по-разному изменились тест и контроль:
если контроль сильно ухудшился, а тест упал меньше — DiD будет положительным;
если тест ухудшился сильнее, чем контроль — DiD будет отрицательным.
</t>
      </text>
    </comment>
  </commentList>
</comments>
</file>

<file path=xl/sharedStrings.xml><?xml version="1.0" encoding="utf-8"?>
<sst xmlns="http://schemas.openxmlformats.org/spreadsheetml/2006/main" count="108" uniqueCount="57">
  <si>
    <t>Контекст задачи</t>
  </si>
  <si>
    <r>
      <rPr/>
      <t xml:space="preserve">На основе продуктовых гипотез 1 и 2 из </t>
    </r>
    <r>
      <rPr>
        <color rgb="FF1155CC"/>
        <u/>
      </rPr>
      <t xml:space="preserve">этого </t>
    </r>
    <r>
      <rPr/>
      <t xml:space="preserve">файла предполагается тест нового функционала
План продуктового тестирования:
Аудитория: все пользователи всех форматов (новые и старые), за исключением сегмента L (список дадут аналитики)
Деление на группы: по ад-нетворкам (через GTM)
Тритмент: Онклика
Контроль: Кликадилла
Метод анализа - pre-post DiD (Difference-in-differences)
Срок теста: 7 дней (предварительно)
Окно анализа: 21 день (7 дней до + 7 дней теста + 7 дней после).
Контрольные метрики :
1. Конверсия из регистрации в создание кампании для новых юзеров
2. Конверсия из старта начала создания кампании в успешное завершение для старых юзеров
Secondary метрики : 
1. Время создания кампании в разрезе новых и старых пользователей
2. Кол-во созданных кампаний на 1 пользователя
</t>
    </r>
  </si>
  <si>
    <t>Комментарии исполнителя</t>
  </si>
  <si>
    <t>В рамках задачи было проведено А-А тестирование на исторических данных (с DiD анализом).
Так же проведена ревизия хранилища ивентов (BigQuery) - так как для UX изменений это ключевой источник данных.
Некоторые заявленные метрики, такие как : расчёт потенциальных флоу, воронка для новых юзеров, доля смены авто-креатива - рассчитать либо полностью невозможно, либо возможно частично только для одного нетворка (здесь мы упираемся в остутсвие необходимых данных для расчёта). Эти метрики решено исключить из анализа
Результаты далее.</t>
  </si>
  <si>
    <t>контрольная метрика - Conversion Rate (Registration &gt; Create Campaign) для новых пользователей</t>
  </si>
  <si>
    <t>Исторические данные метрики по нетворкам</t>
  </si>
  <si>
    <t>MDE</t>
  </si>
  <si>
    <t>network</t>
  </si>
  <si>
    <t>week label</t>
  </si>
  <si>
    <t>registrations</t>
  </si>
  <si>
    <t>conversions</t>
  </si>
  <si>
    <t>CR</t>
  </si>
  <si>
    <t>CI low</t>
  </si>
  <si>
    <t>CI high</t>
  </si>
  <si>
    <t>weeks</t>
  </si>
  <si>
    <t>n</t>
  </si>
  <si>
    <t>mde %</t>
  </si>
  <si>
    <t>mde abs %</t>
  </si>
  <si>
    <t>Clickadilla</t>
  </si>
  <si>
    <t>post</t>
  </si>
  <si>
    <t>pre</t>
  </si>
  <si>
    <t>test</t>
  </si>
  <si>
    <t>Onclicka</t>
  </si>
  <si>
    <t>Average</t>
  </si>
  <si>
    <t>DiD (A-A)</t>
  </si>
  <si>
    <t>group</t>
  </si>
  <si>
    <t>CR pre</t>
  </si>
  <si>
    <t>CR test</t>
  </si>
  <si>
    <t>CR post</t>
  </si>
  <si>
    <t>Δ test</t>
  </si>
  <si>
    <t>Δ post</t>
  </si>
  <si>
    <t>test (onclicka)</t>
  </si>
  <si>
    <t>control (clickadilla)</t>
  </si>
  <si>
    <t>Effects</t>
  </si>
  <si>
    <r>
      <rPr>
        <rFont val="Arial"/>
        <b/>
        <color theme="1"/>
        <sz val="11.0"/>
      </rPr>
      <t xml:space="preserve">Вывод
</t>
    </r>
    <r>
      <rPr>
        <rFont val="Arial"/>
        <color theme="1"/>
      </rPr>
      <t xml:space="preserve">При МДЕ в 2.35% (24% относительно среднего) А-А тест (без воздействия) показывает результат в 16.28% (+190%)
Фактически мы сделали не A–A внутри одной популяции, а сравнение двух разных сетей с разными трендами во времени.
У сетей нет параллельных трендов, поэтому одна сеть не годится в качестве «чистого» контроля для другой. 
Дизайн “Onclicka vs Clickadilla как тест/контроль” некорректен для причинной оценки эффекта фичи. Нарушена ключевая предпосылка DiD: “при отсутствии воздействия тренды в тесте и контроле были бы параллельны.
</t>
    </r>
    <r>
      <rPr>
        <rFont val="Arial"/>
        <b/>
        <color theme="1"/>
        <sz val="12.0"/>
      </rPr>
      <t>Рекомендации</t>
    </r>
    <r>
      <rPr>
        <rFont val="Arial"/>
        <color theme="1"/>
      </rPr>
      <t xml:space="preserve"> 
- Сплит чёт\нечёт либо более совершенные методы (хэш, хэш+соль, другие)
- Нетворки (сетки) использовать как страты (для каждого отдельно замерять эффект)
- Более длительный тест для стабилизации метрики
- Стандартизация метрики или другие методы анализа (логистическая регрессия, бутстрап с пермутацией)                     
                        </t>
    </r>
  </si>
  <si>
    <t>контрольная метрика - Conversion Rate (Start create campaign &gt; Create Campaign sucсessfully) для старых пользователей</t>
  </si>
  <si>
    <t>Соотношение кампаний в MySQL и BQ</t>
  </si>
  <si>
    <t>MySQL</t>
  </si>
  <si>
    <t>BigQuery</t>
  </si>
  <si>
    <t>Share BQ</t>
  </si>
  <si>
    <t>clickadilla</t>
  </si>
  <si>
    <t>onclicka</t>
  </si>
  <si>
    <t>total</t>
  </si>
  <si>
    <t>Расчёт данной метрики возможен только на данных из BQ.
Здесь мы имеем только 20.5% данных в сравнении с нашей БД, и по этим 763 кампаниям только для 72% мы можем идентифицровать созданную кампанию по дельте времени (параметр campaign_id не хранится/пишется в BQ)</t>
  </si>
  <si>
    <r>
      <rPr>
        <rFont val="Arial"/>
        <b/>
        <color theme="1"/>
        <sz val="11.0"/>
      </rPr>
      <t>Вывод</t>
    </r>
    <r>
      <rPr>
        <rFont val="Arial"/>
        <color theme="1"/>
      </rPr>
      <t xml:space="preserve">
Видим разные исходные значения метрики на разных нетворках (на Онклике в 5 раз выше!)
При этом, учитывая специфику записи данных, мы не можем гарантировать, что это действительно так (возможно на разных нетворках по-разному отрабатывают ивенты, ведь хранилища разные)
Поэтому абсолютный эффект в -7.3 п.п здесь малоинформативен (в тестовый период)
Как и пост эффект в 2.4 п.п (практически нулевой), при том, что на Кликадилле значение метрики ухудшилось в 2 раза (на 50%), а на Онклике на 10%
Это наталкивает нас на аналогичный вывод : изначальные значения метрик разные, и контрольная группа не сопоставимо отражает DiD-эффект.
</t>
    </r>
    <r>
      <rPr>
        <rFont val="Arial"/>
        <b/>
        <color theme="1"/>
        <sz val="12.0"/>
      </rPr>
      <t>Рекомендации</t>
    </r>
    <r>
      <rPr>
        <rFont val="Arial"/>
        <color theme="1"/>
      </rPr>
      <t xml:space="preserve">
- Сплит чёт\нечёт либо более совершенные методы (хэш, хэш+соль, другие)
- Нетворки (сетки) использовать как страты (для каждого отдельно замерять эффект)
- Настроить хранилище ивентов так, чтобы иметь хотя бы 85% данных, либо записывать ивент в нашу базу для расчёта метрики (start_create_campaign)</t>
    </r>
  </si>
  <si>
    <t xml:space="preserve">secondary-метрика - Кол-во создаваемых кампаний на одного пользователя (Campaigns per user)                                               </t>
  </si>
  <si>
    <t>CPU pre</t>
  </si>
  <si>
    <t>CPU test</t>
  </si>
  <si>
    <t>CPU post</t>
  </si>
  <si>
    <r>
      <rPr>
        <rFont val="Arial"/>
        <b/>
        <color theme="1"/>
        <sz val="11.0"/>
      </rPr>
      <t>Вывод</t>
    </r>
    <r>
      <rPr>
        <rFont val="Arial"/>
        <color theme="1"/>
      </rPr>
      <t xml:space="preserve">
Так же видим разные исходные значения метрики на разных нетворках (на Кликадиле в ~3 раза выше)
Это наталкивает нас на аналогичный вывод : изначальные значения метрик разные, и контрольная группа не сопоставимо отражает DiD-эффект.
</t>
    </r>
    <r>
      <rPr>
        <rFont val="Arial"/>
        <b/>
        <color theme="1"/>
        <sz val="12.0"/>
      </rPr>
      <t>Рекомендации</t>
    </r>
    <r>
      <rPr>
        <rFont val="Arial"/>
        <color theme="1"/>
      </rPr>
      <t xml:space="preserve">
- Сплит чёт\нечёт либо более совершенные методы (хэш, хэш+соль, другие)
- Нетворки (сетки) использовать как страты (для каждого отдельно замерять эффект)
- Более длительный тест для стабилизации метрики
- Стандартизация метрики</t>
    </r>
  </si>
  <si>
    <t xml:space="preserve">secondary-метрика - Среднее время создания кампании (в минутах)                                                                                              </t>
  </si>
  <si>
    <t>Новые пользователи</t>
  </si>
  <si>
    <t>Старые пользователи</t>
  </si>
  <si>
    <t>AVG time pre</t>
  </si>
  <si>
    <t>AVG time test</t>
  </si>
  <si>
    <t>AVG time post</t>
  </si>
  <si>
    <r>
      <rPr>
        <b/>
        <sz val="11.0"/>
      </rPr>
      <t xml:space="preserve">Выводы
</t>
    </r>
    <r>
      <rPr/>
      <t xml:space="preserve">Согласно </t>
    </r>
    <r>
      <rPr>
        <color rgb="FF1155CC"/>
        <u/>
      </rPr>
      <t xml:space="preserve">исследованию </t>
    </r>
    <r>
      <rPr/>
      <t xml:space="preserve">среднее время создания кампании на обоих нетворках схоже, однако в текущем дизайне (отдельно по новым и старым юзерам) мы видим значительные колебания метрики в рамках недельного периода между группами теста и контроля
</t>
    </r>
    <r>
      <rPr>
        <b/>
        <sz val="12.0"/>
      </rPr>
      <t xml:space="preserve">Рекомендации
</t>
    </r>
    <r>
      <rPr/>
      <t>- Сплит чёт\нечёт либо более совершенные методы (хэш, хэш+соль, другие)
- Нетворки (сетки) использовать как страты (для каждого отдельно замерять эффект)
- Более длительный тест для стабилизации метрики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</si>
</sst>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%&quot;"/>
    <numFmt numFmtId="165" formatCode="0.00&quot;%&quot;"/>
    <numFmt numFmtId="166" formatCode="0.0%"/>
  </numFmts>
  <fonts count="10">
    <font>
      <sz val="10.0"/>
      <color rgb="FF000000"/>
      <name val="Arial"/>
      <scheme val="minor"/>
    </font>
    <font>
      <b/>
      <sz val="11.0"/>
      <color theme="1"/>
      <name val="Arial"/>
      <scheme val="minor"/>
    </font>
    <font/>
    <font>
      <u/>
      <color rgb="FF0000FF"/>
    </font>
    <font>
      <color theme="1"/>
      <name val="Arial"/>
      <scheme val="minor"/>
    </font>
    <font>
      <i/>
      <sz val="11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i/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4" fillId="0" fontId="4" numFmtId="0" xfId="0" applyAlignment="1" applyBorder="1" applyFont="1">
      <alignment horizontal="left"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5" numFmtId="0" xfId="0" applyAlignment="1" applyBorder="1" applyFont="1">
      <alignment readingOrder="0"/>
    </xf>
    <xf borderId="1" fillId="2" fontId="6" numFmtId="0" xfId="0" applyAlignment="1" applyBorder="1" applyFill="1" applyFont="1">
      <alignment horizontal="center" readingOrder="0"/>
    </xf>
    <xf borderId="12" fillId="3" fontId="6" numFmtId="0" xfId="0" applyAlignment="1" applyBorder="1" applyFill="1" applyFont="1">
      <alignment horizontal="center" readingOrder="0"/>
    </xf>
    <xf borderId="12" fillId="0" fontId="4" numFmtId="0" xfId="0" applyAlignment="1" applyBorder="1" applyFont="1">
      <alignment readingOrder="0"/>
    </xf>
    <xf borderId="12" fillId="0" fontId="4" numFmtId="10" xfId="0" applyAlignment="1" applyBorder="1" applyFont="1" applyNumberFormat="1">
      <alignment readingOrder="0"/>
    </xf>
    <xf borderId="12" fillId="0" fontId="7" numFmtId="164" xfId="0" applyAlignment="1" applyBorder="1" applyFont="1" applyNumberFormat="1">
      <alignment readingOrder="0"/>
    </xf>
    <xf borderId="12" fillId="0" fontId="4" numFmtId="165" xfId="0" applyAlignment="1" applyBorder="1" applyFont="1" applyNumberFormat="1">
      <alignment readingOrder="0"/>
    </xf>
    <xf borderId="13" fillId="0" fontId="4" numFmtId="0" xfId="0" applyAlignment="1" applyBorder="1" applyFont="1">
      <alignment readingOrder="0"/>
    </xf>
    <xf borderId="13" fillId="0" fontId="4" numFmtId="10" xfId="0" applyAlignment="1" applyBorder="1" applyFont="1" applyNumberFormat="1">
      <alignment readingOrder="0"/>
    </xf>
    <xf borderId="12" fillId="4" fontId="4" numFmtId="0" xfId="0" applyAlignment="1" applyBorder="1" applyFill="1" applyFont="1">
      <alignment readingOrder="0"/>
    </xf>
    <xf borderId="12" fillId="4" fontId="4" numFmtId="0" xfId="0" applyBorder="1" applyFont="1"/>
    <xf borderId="12" fillId="4" fontId="4" numFmtId="165" xfId="0" applyAlignment="1" applyBorder="1" applyFont="1" applyNumberFormat="1">
      <alignment readingOrder="0"/>
    </xf>
    <xf borderId="12" fillId="4" fontId="4" numFmtId="10" xfId="0" applyAlignment="1" applyBorder="1" applyFont="1" applyNumberFormat="1">
      <alignment readingOrder="0"/>
    </xf>
    <xf borderId="0" fillId="0" fontId="6" numFmtId="0" xfId="0" applyAlignment="1" applyFont="1">
      <alignment horizontal="center" readingOrder="0"/>
    </xf>
    <xf borderId="2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/>
    </xf>
    <xf borderId="12" fillId="0" fontId="8" numFmtId="0" xfId="0" applyAlignment="1" applyBorder="1" applyFont="1">
      <alignment readingOrder="0"/>
    </xf>
    <xf borderId="12" fillId="0" fontId="4" numFmtId="166" xfId="0" applyBorder="1" applyFont="1" applyNumberFormat="1"/>
    <xf borderId="12" fillId="5" fontId="8" numFmtId="0" xfId="0" applyAlignment="1" applyBorder="1" applyFill="1" applyFont="1">
      <alignment readingOrder="0"/>
    </xf>
    <xf borderId="12" fillId="5" fontId="4" numFmtId="0" xfId="0" applyAlignment="1" applyBorder="1" applyFont="1">
      <alignment readingOrder="0"/>
    </xf>
    <xf borderId="12" fillId="5" fontId="4" numFmtId="166" xfId="0" applyBorder="1" applyFont="1" applyNumberFormat="1"/>
    <xf borderId="0" fillId="0" fontId="4" numFmtId="10" xfId="0" applyAlignment="1" applyFont="1" applyNumberFormat="1">
      <alignment readingOrder="0"/>
    </xf>
    <xf borderId="0" fillId="0" fontId="4" numFmtId="0" xfId="0" applyFont="1"/>
    <xf borderId="4" fillId="0" fontId="4" numFmtId="0" xfId="0" applyAlignment="1" applyBorder="1" applyFont="1">
      <alignment readingOrder="0" shrinkToFit="0" vertical="top" wrapText="1"/>
    </xf>
    <xf borderId="5" fillId="0" fontId="4" numFmtId="0" xfId="0" applyBorder="1" applyFont="1"/>
    <xf borderId="4" fillId="0" fontId="4" numFmtId="0" xfId="0" applyAlignment="1" applyBorder="1" applyFont="1">
      <alignment readingOrder="0" shrinkToFit="0" wrapText="1"/>
    </xf>
    <xf borderId="0" fillId="0" fontId="5" numFmtId="0" xfId="0" applyAlignment="1" applyFont="1">
      <alignment readingOrder="0"/>
    </xf>
    <xf borderId="12" fillId="0" fontId="4" numFmtId="2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6" fontId="6" numFmtId="0" xfId="0" applyAlignment="1" applyBorder="1" applyFill="1" applyFont="1">
      <alignment horizontal="center" readingOrder="0"/>
    </xf>
    <xf borderId="1" fillId="7" fontId="6" numFmtId="0" xfId="0" applyAlignment="1" applyBorder="1" applyFill="1" applyFont="1">
      <alignment horizontal="center" readingOrder="0"/>
    </xf>
    <xf borderId="13" fillId="0" fontId="4" numFmtId="0" xfId="0" applyBorder="1" applyFont="1"/>
    <xf borderId="14" fillId="0" fontId="2" numFmtId="0" xfId="0" applyBorder="1" applyFont="1"/>
    <xf borderId="15" fillId="0" fontId="2" numFmtId="0" xfId="0" applyBorder="1" applyFont="1"/>
    <xf borderId="4" fillId="0" fontId="9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ksandr Radionov" id="{62951db1-66f6-4c2e-ae7c-46a3aa588ec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3" dT="2025-12-16T11:07:14.00" personId="{62951db1-66f6-4c2e-ae7c-46a3aa588ec9}" id="{b3fa8803-a635-47e8-b89b-fb8446647299}" done="0">
    <x18tc:text xml:space="preserve">Как читать таблицу
Каждая группа (тест и контроль) имеет свою конверсию в три периода:
до теста (pre),
в тестовую неделю (test),
после теста (post).
Для каждой группы считаем, как изменилась конверсия относительно pre:
Во время теста
Δ𝑔𝑡𝑒𝑠𝑡=𝐶𝑅𝑔,test−𝐶𝑅𝑔,pre
После теста
Δ𝑔𝑝𝑜𝑠𝑡=𝐶𝑅𝑔,post−𝐶𝑅𝑔,pre
DiD-эффект показывает, насколько по-разному изменились тест и контроль:
если контроль сильно ухудшился, а тест упал меньше — DiD будет положительным;
если тест ухудшился сильнее, чем контроль — DiD будет отрицательным.</x18tc:text>
  </x18tc:threadedComment>
  <x18tc:threadedComment ref="A18" dT="2025-12-16T11:07:52.00" personId="{62951db1-66f6-4c2e-ae7c-46a3aa588ec9}" id="{1160c35c-79bb-43c8-902a-7583dcf385c0}" done="0">
    <x18tc:text xml:space="preserve">Как это интерпретировать в общем виде:
Положительное Δ означает, что тестовая группа показала себя лучше, чем можно было ожидать исходя из поведения контроля.
Отрицательное Δ означает, что тестовая группа ухудшилась сильнее, чем контроль.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V3lawZNJV5b8WrNHuXmKOojDhNOL_QOQsFi0xk6s88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BYgH6_1TO8uNqQfdUsxm0Q0DIwh7lOGaisxjLmmX3M/edit?gid=752354509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2"/>
      <c r="C2" s="2"/>
      <c r="D2" s="2"/>
      <c r="E2" s="2"/>
      <c r="F2" s="2"/>
      <c r="G2" s="2"/>
      <c r="H2" s="3"/>
    </row>
    <row r="3">
      <c r="A3" s="5"/>
      <c r="B3" s="2"/>
      <c r="C3" s="2"/>
      <c r="D3" s="2"/>
      <c r="E3" s="2"/>
      <c r="F3" s="2"/>
      <c r="G3" s="2"/>
      <c r="H3" s="3"/>
    </row>
    <row r="4">
      <c r="A4" s="1" t="s">
        <v>2</v>
      </c>
      <c r="B4" s="2"/>
      <c r="C4" s="2"/>
      <c r="D4" s="2"/>
      <c r="E4" s="2"/>
      <c r="F4" s="2"/>
      <c r="G4" s="2"/>
      <c r="H4" s="3"/>
    </row>
    <row r="5">
      <c r="A5" s="6" t="s">
        <v>3</v>
      </c>
      <c r="B5" s="7"/>
      <c r="C5" s="7"/>
      <c r="D5" s="7"/>
      <c r="E5" s="7"/>
      <c r="F5" s="7"/>
      <c r="G5" s="7"/>
      <c r="H5" s="8"/>
    </row>
    <row r="6">
      <c r="A6" s="9"/>
      <c r="H6" s="10"/>
    </row>
    <row r="7">
      <c r="A7" s="9"/>
      <c r="H7" s="10"/>
    </row>
    <row r="8">
      <c r="A8" s="9"/>
      <c r="H8" s="10"/>
    </row>
    <row r="9">
      <c r="A9" s="9"/>
      <c r="H9" s="10"/>
    </row>
    <row r="10">
      <c r="A10" s="9"/>
      <c r="H10" s="10"/>
    </row>
    <row r="11">
      <c r="A11" s="11"/>
      <c r="B11" s="12"/>
      <c r="C11" s="12"/>
      <c r="D11" s="12"/>
      <c r="E11" s="12"/>
      <c r="F11" s="12"/>
      <c r="G11" s="12"/>
      <c r="H11" s="13"/>
    </row>
  </sheetData>
  <mergeCells count="5">
    <mergeCell ref="A1:H1"/>
    <mergeCell ref="A2:H2"/>
    <mergeCell ref="A3:H3"/>
    <mergeCell ref="A4:H4"/>
    <mergeCell ref="A5:H11"/>
  </mergeCells>
  <hyperlinks>
    <hyperlink r:id="rId1" location="heading=h.rb32hisphn3y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4" t="s">
        <v>4</v>
      </c>
      <c r="B1" s="2"/>
      <c r="C1" s="2"/>
      <c r="D1" s="2"/>
      <c r="E1" s="2"/>
      <c r="F1" s="2"/>
      <c r="G1" s="3"/>
    </row>
    <row r="2">
      <c r="A2" s="5"/>
      <c r="B2" s="2"/>
      <c r="C2" s="2"/>
      <c r="D2" s="2"/>
      <c r="E2" s="2"/>
      <c r="F2" s="2"/>
      <c r="G2" s="3"/>
    </row>
    <row r="3">
      <c r="A3" s="15" t="s">
        <v>5</v>
      </c>
      <c r="B3" s="2"/>
      <c r="C3" s="2"/>
      <c r="D3" s="2"/>
      <c r="E3" s="2"/>
      <c r="F3" s="2"/>
      <c r="G3" s="3"/>
      <c r="I3" s="15" t="s">
        <v>6</v>
      </c>
      <c r="J3" s="2"/>
      <c r="K3" s="2"/>
      <c r="L3" s="3"/>
    </row>
    <row r="4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I4" s="16" t="s">
        <v>14</v>
      </c>
      <c r="J4" s="16" t="s">
        <v>15</v>
      </c>
      <c r="K4" s="16" t="s">
        <v>16</v>
      </c>
      <c r="L4" s="16" t="s">
        <v>17</v>
      </c>
    </row>
    <row r="5">
      <c r="A5" s="17" t="s">
        <v>18</v>
      </c>
      <c r="B5" s="17" t="s">
        <v>19</v>
      </c>
      <c r="C5" s="17">
        <v>823.0</v>
      </c>
      <c r="D5" s="17">
        <v>32.0</v>
      </c>
      <c r="E5" s="18">
        <v>0.0388821385176184</v>
      </c>
      <c r="F5" s="18">
        <v>0.0256746710550957</v>
      </c>
      <c r="G5" s="18">
        <v>0.0520896059801411</v>
      </c>
      <c r="I5" s="17">
        <v>1.0</v>
      </c>
      <c r="J5" s="17">
        <v>194.0</v>
      </c>
      <c r="K5" s="19">
        <v>24.21</v>
      </c>
      <c r="L5" s="20">
        <v>2.35</v>
      </c>
    </row>
    <row r="6">
      <c r="A6" s="17" t="s">
        <v>18</v>
      </c>
      <c r="B6" s="17" t="s">
        <v>20</v>
      </c>
      <c r="C6" s="17">
        <v>202.0</v>
      </c>
      <c r="D6" s="17">
        <v>40.0</v>
      </c>
      <c r="E6" s="18">
        <v>0.198019801980198</v>
      </c>
      <c r="F6" s="18">
        <v>0.1430636241569</v>
      </c>
      <c r="G6" s="18">
        <v>0.252975979803495</v>
      </c>
      <c r="I6" s="17">
        <v>2.0</v>
      </c>
      <c r="J6" s="17">
        <v>388.0</v>
      </c>
      <c r="K6" s="19">
        <v>17.12</v>
      </c>
      <c r="L6" s="20">
        <v>1.66</v>
      </c>
    </row>
    <row r="7">
      <c r="A7" s="17" t="s">
        <v>18</v>
      </c>
      <c r="B7" s="17" t="s">
        <v>21</v>
      </c>
      <c r="C7" s="17">
        <v>1117.0</v>
      </c>
      <c r="D7" s="17">
        <v>24.0</v>
      </c>
      <c r="E7" s="18">
        <v>0.0214861235452103</v>
      </c>
      <c r="F7" s="18">
        <v>0.0129827352002566</v>
      </c>
      <c r="G7" s="18">
        <v>0.0299895118901641</v>
      </c>
      <c r="I7" s="17">
        <v>3.0</v>
      </c>
      <c r="J7" s="17">
        <v>582.0</v>
      </c>
      <c r="K7" s="19">
        <v>13.98</v>
      </c>
      <c r="L7" s="20">
        <v>1.36</v>
      </c>
    </row>
    <row r="8">
      <c r="A8" s="17" t="s">
        <v>22</v>
      </c>
      <c r="B8" s="17" t="s">
        <v>19</v>
      </c>
      <c r="C8" s="17">
        <v>134.0</v>
      </c>
      <c r="D8" s="17">
        <v>7.0</v>
      </c>
      <c r="E8" s="18">
        <v>0.0522388059701492</v>
      </c>
      <c r="F8" s="18">
        <v>0.014564110174104</v>
      </c>
      <c r="G8" s="18">
        <v>0.0899135017661944</v>
      </c>
      <c r="I8" s="17">
        <v>4.0</v>
      </c>
      <c r="J8" s="17">
        <v>776.0</v>
      </c>
      <c r="K8" s="19">
        <v>12.1</v>
      </c>
      <c r="L8" s="20">
        <v>1.18</v>
      </c>
    </row>
    <row r="9">
      <c r="A9" s="17" t="s">
        <v>22</v>
      </c>
      <c r="B9" s="17" t="s">
        <v>20</v>
      </c>
      <c r="C9" s="17">
        <v>186.0</v>
      </c>
      <c r="D9" s="17">
        <v>16.0</v>
      </c>
      <c r="E9" s="18">
        <v>0.086021505376344</v>
      </c>
      <c r="F9" s="18">
        <v>0.0457246546037001</v>
      </c>
      <c r="G9" s="18">
        <v>0.126318356148988</v>
      </c>
    </row>
    <row r="10">
      <c r="A10" s="21" t="s">
        <v>22</v>
      </c>
      <c r="B10" s="21" t="s">
        <v>21</v>
      </c>
      <c r="C10" s="21">
        <v>166.0</v>
      </c>
      <c r="D10" s="21">
        <v>11.0</v>
      </c>
      <c r="E10" s="22">
        <v>0.0662650602409638</v>
      </c>
      <c r="F10" s="22">
        <v>0.0284246243078457</v>
      </c>
      <c r="G10" s="22">
        <v>0.104105496174081</v>
      </c>
    </row>
    <row r="11">
      <c r="A11" s="23" t="s">
        <v>23</v>
      </c>
      <c r="B11" s="24"/>
      <c r="C11" s="23">
        <v>438.0</v>
      </c>
      <c r="D11" s="23">
        <v>21.0</v>
      </c>
      <c r="E11" s="25">
        <v>7.72</v>
      </c>
      <c r="F11" s="26">
        <v>0.074</v>
      </c>
      <c r="G11" s="26">
        <v>0.124</v>
      </c>
    </row>
    <row r="12">
      <c r="A12" s="27"/>
    </row>
    <row r="13">
      <c r="A13" s="15" t="s">
        <v>24</v>
      </c>
      <c r="B13" s="2"/>
      <c r="C13" s="2"/>
      <c r="D13" s="2"/>
      <c r="E13" s="2"/>
      <c r="F13" s="3"/>
    </row>
    <row r="14">
      <c r="A14" s="16" t="s">
        <v>25</v>
      </c>
      <c r="B14" s="16" t="s">
        <v>26</v>
      </c>
      <c r="C14" s="16" t="s">
        <v>27</v>
      </c>
      <c r="D14" s="16" t="s">
        <v>28</v>
      </c>
      <c r="E14" s="16" t="s">
        <v>29</v>
      </c>
      <c r="F14" s="16" t="s">
        <v>30</v>
      </c>
    </row>
    <row r="15">
      <c r="A15" s="17" t="s">
        <v>31</v>
      </c>
      <c r="B15" s="18">
        <v>0.086021505376344</v>
      </c>
      <c r="C15" s="18">
        <v>0.072289156626506</v>
      </c>
      <c r="D15" s="18">
        <v>0.0597014925373134</v>
      </c>
      <c r="E15" s="18">
        <v>-0.013732348749838</v>
      </c>
      <c r="F15" s="18">
        <v>-0.0263200128390306</v>
      </c>
    </row>
    <row r="16">
      <c r="A16" s="17" t="s">
        <v>32</v>
      </c>
      <c r="B16" s="18">
        <v>0.198019801980198</v>
      </c>
      <c r="C16" s="18">
        <v>0.0214861235452103</v>
      </c>
      <c r="D16" s="18">
        <v>0.0388821385176184</v>
      </c>
      <c r="E16" s="18">
        <v>-0.176533678434987</v>
      </c>
      <c r="F16" s="18">
        <v>-0.159137663462579</v>
      </c>
    </row>
    <row r="18">
      <c r="A18" s="15" t="s">
        <v>33</v>
      </c>
      <c r="B18" s="3"/>
    </row>
    <row r="19">
      <c r="A19" s="17" t="s">
        <v>21</v>
      </c>
      <c r="B19" s="18">
        <v>0.162801329685149</v>
      </c>
    </row>
    <row r="20">
      <c r="A20" s="17" t="s">
        <v>19</v>
      </c>
      <c r="B20" s="18">
        <v>0.132817650623548</v>
      </c>
    </row>
    <row r="21">
      <c r="A21" s="2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>
      <c r="A22" s="29" t="s">
        <v>34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</sheetData>
  <mergeCells count="15">
    <mergeCell ref="A12:G12"/>
    <mergeCell ref="A13:F13"/>
    <mergeCell ref="G13:G20"/>
    <mergeCell ref="A17:F17"/>
    <mergeCell ref="A18:B18"/>
    <mergeCell ref="C18:F20"/>
    <mergeCell ref="A21:L21"/>
    <mergeCell ref="A22:L22"/>
    <mergeCell ref="A1:G1"/>
    <mergeCell ref="H1:H20"/>
    <mergeCell ref="I1:L2"/>
    <mergeCell ref="A2:G2"/>
    <mergeCell ref="A3:G3"/>
    <mergeCell ref="I3:L3"/>
    <mergeCell ref="I9:L20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  <col customWidth="1" min="7" max="7" width="14.88"/>
  </cols>
  <sheetData>
    <row r="1">
      <c r="A1" s="14" t="s">
        <v>35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28"/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5" t="s">
        <v>36</v>
      </c>
      <c r="B3" s="2"/>
      <c r="C3" s="2"/>
      <c r="D3" s="3"/>
      <c r="E3" s="30"/>
      <c r="F3" s="15" t="s">
        <v>24</v>
      </c>
      <c r="G3" s="2"/>
      <c r="H3" s="2"/>
      <c r="I3" s="2"/>
      <c r="J3" s="2"/>
      <c r="K3" s="3"/>
    </row>
    <row r="4">
      <c r="A4" s="17"/>
      <c r="B4" s="16" t="s">
        <v>37</v>
      </c>
      <c r="C4" s="16" t="s">
        <v>38</v>
      </c>
      <c r="D4" s="16" t="s">
        <v>39</v>
      </c>
      <c r="F4" s="16" t="s">
        <v>25</v>
      </c>
      <c r="G4" s="16" t="s">
        <v>26</v>
      </c>
      <c r="H4" s="16" t="s">
        <v>27</v>
      </c>
      <c r="I4" s="16" t="s">
        <v>28</v>
      </c>
      <c r="J4" s="16" t="s">
        <v>29</v>
      </c>
      <c r="K4" s="16" t="s">
        <v>30</v>
      </c>
    </row>
    <row r="5">
      <c r="A5" s="31" t="s">
        <v>40</v>
      </c>
      <c r="B5" s="17">
        <v>3114.0</v>
      </c>
      <c r="C5" s="17">
        <v>544.0</v>
      </c>
      <c r="D5" s="32">
        <f t="shared" ref="D5:D7" si="1">C5/B5</f>
        <v>0.1746949261</v>
      </c>
      <c r="F5" s="17" t="s">
        <v>31</v>
      </c>
      <c r="G5" s="18">
        <v>0.517815909017734</v>
      </c>
      <c r="H5" s="18">
        <v>0.446214896214896</v>
      </c>
      <c r="I5" s="18">
        <v>0.492979242979243</v>
      </c>
      <c r="J5" s="18">
        <v>-0.0716010128028383</v>
      </c>
      <c r="K5" s="18">
        <v>-0.0248366660384915</v>
      </c>
    </row>
    <row r="6">
      <c r="A6" s="31" t="s">
        <v>41</v>
      </c>
      <c r="B6" s="17">
        <v>606.0</v>
      </c>
      <c r="C6" s="17">
        <v>219.0</v>
      </c>
      <c r="D6" s="32">
        <f t="shared" si="1"/>
        <v>0.3613861386</v>
      </c>
      <c r="F6" s="17" t="s">
        <v>32</v>
      </c>
      <c r="G6" s="18">
        <v>0.0972784297758952</v>
      </c>
      <c r="H6" s="18">
        <v>0.0989903433287576</v>
      </c>
      <c r="I6" s="18">
        <v>0.0482654300615326</v>
      </c>
      <c r="J6" s="18">
        <v>0.00171191355286244</v>
      </c>
      <c r="K6" s="18">
        <v>-0.0490129997143625</v>
      </c>
    </row>
    <row r="7">
      <c r="A7" s="33" t="s">
        <v>42</v>
      </c>
      <c r="B7" s="34">
        <v>3720.0</v>
      </c>
      <c r="C7" s="34">
        <v>763.0</v>
      </c>
      <c r="D7" s="35">
        <f t="shared" si="1"/>
        <v>0.2051075269</v>
      </c>
      <c r="F7" s="28"/>
      <c r="G7" s="2"/>
      <c r="H7" s="2"/>
      <c r="I7" s="2"/>
      <c r="J7" s="2"/>
      <c r="K7" s="2"/>
    </row>
    <row r="8">
      <c r="C8" s="36"/>
      <c r="F8" s="15" t="s">
        <v>33</v>
      </c>
      <c r="G8" s="3"/>
      <c r="H8" s="37"/>
      <c r="K8" s="10"/>
    </row>
    <row r="9">
      <c r="A9" s="38" t="s">
        <v>43</v>
      </c>
      <c r="B9" s="7"/>
      <c r="C9" s="7"/>
      <c r="D9" s="8"/>
      <c r="F9" s="17" t="s">
        <v>21</v>
      </c>
      <c r="G9" s="18">
        <v>-0.0733129263557007</v>
      </c>
      <c r="K9" s="10"/>
    </row>
    <row r="10">
      <c r="A10" s="9"/>
      <c r="D10" s="10"/>
      <c r="F10" s="17" t="s">
        <v>19</v>
      </c>
      <c r="G10" s="18">
        <v>0.024176333675871</v>
      </c>
      <c r="K10" s="10"/>
    </row>
    <row r="11">
      <c r="A11" s="9"/>
      <c r="D11" s="10"/>
      <c r="F11" s="39"/>
      <c r="G11" s="7"/>
      <c r="H11" s="7"/>
      <c r="I11" s="7"/>
      <c r="J11" s="7"/>
      <c r="K11" s="7"/>
    </row>
    <row r="12">
      <c r="A12" s="9"/>
      <c r="D12" s="10"/>
      <c r="F12" s="40" t="s">
        <v>44</v>
      </c>
      <c r="G12" s="7"/>
      <c r="H12" s="7"/>
      <c r="I12" s="7"/>
      <c r="J12" s="7"/>
      <c r="K12" s="8"/>
    </row>
    <row r="13">
      <c r="A13" s="9"/>
      <c r="D13" s="10"/>
      <c r="F13" s="9"/>
      <c r="K13" s="10"/>
    </row>
    <row r="14">
      <c r="A14" s="11"/>
      <c r="B14" s="12"/>
      <c r="C14" s="12"/>
      <c r="D14" s="13"/>
      <c r="F14" s="9"/>
      <c r="K14" s="10"/>
    </row>
    <row r="15">
      <c r="F15" s="9"/>
      <c r="K15" s="10"/>
    </row>
    <row r="16">
      <c r="F16" s="9"/>
      <c r="K16" s="10"/>
    </row>
    <row r="17">
      <c r="F17" s="9"/>
      <c r="K17" s="10"/>
    </row>
    <row r="18">
      <c r="F18" s="9"/>
      <c r="K18" s="10"/>
    </row>
    <row r="19">
      <c r="F19" s="9"/>
      <c r="K19" s="10"/>
    </row>
    <row r="20">
      <c r="F20" s="9"/>
      <c r="K20" s="10"/>
    </row>
    <row r="21">
      <c r="F21" s="9"/>
      <c r="K21" s="10"/>
    </row>
    <row r="22">
      <c r="F22" s="9"/>
      <c r="K22" s="10"/>
    </row>
    <row r="23">
      <c r="F23" s="9"/>
      <c r="K23" s="10"/>
    </row>
    <row r="24">
      <c r="F24" s="9"/>
      <c r="K24" s="10"/>
    </row>
    <row r="25">
      <c r="F25" s="11"/>
      <c r="G25" s="12"/>
      <c r="H25" s="12"/>
      <c r="I25" s="12"/>
      <c r="J25" s="12"/>
      <c r="K25" s="13"/>
    </row>
  </sheetData>
  <mergeCells count="13">
    <mergeCell ref="A3:D3"/>
    <mergeCell ref="A9:D14"/>
    <mergeCell ref="F11:K11"/>
    <mergeCell ref="F12:K25"/>
    <mergeCell ref="A15:D15"/>
    <mergeCell ref="A16:D25"/>
    <mergeCell ref="A1:K1"/>
    <mergeCell ref="A2:K2"/>
    <mergeCell ref="E3:E25"/>
    <mergeCell ref="F3:K3"/>
    <mergeCell ref="F7:K7"/>
    <mergeCell ref="F8:G8"/>
    <mergeCell ref="H8:K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4" t="s">
        <v>45</v>
      </c>
      <c r="B1" s="2"/>
      <c r="C1" s="2"/>
      <c r="D1" s="2"/>
      <c r="E1" s="2"/>
      <c r="F1" s="2"/>
      <c r="G1" s="3"/>
      <c r="H1" s="41"/>
    </row>
    <row r="3">
      <c r="A3" s="15" t="s">
        <v>24</v>
      </c>
      <c r="B3" s="2"/>
      <c r="C3" s="2"/>
      <c r="D3" s="2"/>
      <c r="E3" s="2"/>
      <c r="F3" s="3"/>
    </row>
    <row r="4">
      <c r="A4" s="16" t="s">
        <v>25</v>
      </c>
      <c r="B4" s="16" t="s">
        <v>46</v>
      </c>
      <c r="C4" s="16" t="s">
        <v>47</v>
      </c>
      <c r="D4" s="16" t="s">
        <v>48</v>
      </c>
      <c r="E4" s="16" t="s">
        <v>29</v>
      </c>
      <c r="F4" s="16" t="s">
        <v>30</v>
      </c>
    </row>
    <row r="5">
      <c r="A5" s="17" t="s">
        <v>31</v>
      </c>
      <c r="B5" s="42">
        <v>2.21793797263722</v>
      </c>
      <c r="C5" s="42">
        <v>2.66332080617794</v>
      </c>
      <c r="D5" s="42">
        <v>2.17931998556998</v>
      </c>
      <c r="E5" s="42">
        <v>0.445382833540728</v>
      </c>
      <c r="F5" s="42">
        <v>-0.0386179870672349</v>
      </c>
    </row>
    <row r="6">
      <c r="A6" s="17" t="s">
        <v>32</v>
      </c>
      <c r="B6" s="42">
        <v>4.23193486880918</v>
      </c>
      <c r="C6" s="42">
        <v>5.97740763981365</v>
      </c>
      <c r="D6" s="42">
        <v>6.64427803379416</v>
      </c>
      <c r="E6" s="42">
        <v>1.74547277100447</v>
      </c>
      <c r="F6" s="42">
        <v>2.41234316498497</v>
      </c>
    </row>
    <row r="8">
      <c r="A8" s="15" t="s">
        <v>33</v>
      </c>
      <c r="B8" s="3"/>
    </row>
    <row r="9">
      <c r="A9" s="17" t="s">
        <v>21</v>
      </c>
      <c r="B9" s="42">
        <v>-1.30008993746374</v>
      </c>
    </row>
    <row r="10">
      <c r="A10" s="17" t="s">
        <v>19</v>
      </c>
      <c r="B10" s="42">
        <v>-2.45096115205221</v>
      </c>
    </row>
    <row r="11">
      <c r="A11" s="28"/>
      <c r="B11" s="2"/>
      <c r="C11" s="2"/>
      <c r="D11" s="2"/>
      <c r="E11" s="2"/>
      <c r="F11" s="2"/>
      <c r="G11" s="2"/>
      <c r="H11" s="2"/>
      <c r="I11" s="2"/>
    </row>
    <row r="12">
      <c r="A12" s="43" t="s">
        <v>49</v>
      </c>
      <c r="B12" s="2"/>
      <c r="C12" s="2"/>
      <c r="D12" s="2"/>
      <c r="E12" s="2"/>
      <c r="F12" s="2"/>
      <c r="G12" s="2"/>
      <c r="H12" s="2"/>
      <c r="I12" s="3"/>
    </row>
  </sheetData>
  <mergeCells count="10">
    <mergeCell ref="C8:G10"/>
    <mergeCell ref="A11:I11"/>
    <mergeCell ref="A12:I12"/>
    <mergeCell ref="A1:G1"/>
    <mergeCell ref="H1:I10"/>
    <mergeCell ref="A2:G2"/>
    <mergeCell ref="A3:F3"/>
    <mergeCell ref="G3:G6"/>
    <mergeCell ref="A7:G7"/>
    <mergeCell ref="A8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8" max="8" width="15.13"/>
  </cols>
  <sheetData>
    <row r="1">
      <c r="A1" s="14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2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44" t="s">
        <v>51</v>
      </c>
      <c r="B3" s="2"/>
      <c r="C3" s="2"/>
      <c r="D3" s="2"/>
      <c r="E3" s="2"/>
      <c r="F3" s="3"/>
      <c r="H3" s="45" t="s">
        <v>52</v>
      </c>
      <c r="I3" s="2"/>
      <c r="J3" s="2"/>
      <c r="K3" s="2"/>
      <c r="L3" s="2"/>
      <c r="M3" s="3"/>
    </row>
    <row r="4">
      <c r="A4" s="15" t="s">
        <v>24</v>
      </c>
      <c r="B4" s="2"/>
      <c r="C4" s="2"/>
      <c r="D4" s="2"/>
      <c r="E4" s="2"/>
      <c r="F4" s="3"/>
      <c r="G4" s="46"/>
      <c r="H4" s="15" t="s">
        <v>24</v>
      </c>
      <c r="I4" s="2"/>
      <c r="J4" s="2"/>
      <c r="K4" s="2"/>
      <c r="L4" s="2"/>
      <c r="M4" s="3"/>
    </row>
    <row r="5">
      <c r="A5" s="16" t="s">
        <v>25</v>
      </c>
      <c r="B5" s="16" t="s">
        <v>53</v>
      </c>
      <c r="C5" s="16" t="s">
        <v>54</v>
      </c>
      <c r="D5" s="16" t="s">
        <v>55</v>
      </c>
      <c r="E5" s="16" t="s">
        <v>29</v>
      </c>
      <c r="F5" s="16" t="s">
        <v>30</v>
      </c>
      <c r="G5" s="47"/>
      <c r="H5" s="16" t="s">
        <v>25</v>
      </c>
      <c r="I5" s="16" t="s">
        <v>53</v>
      </c>
      <c r="J5" s="16" t="s">
        <v>54</v>
      </c>
      <c r="K5" s="16" t="s">
        <v>55</v>
      </c>
      <c r="L5" s="16" t="s">
        <v>29</v>
      </c>
      <c r="M5" s="16" t="s">
        <v>30</v>
      </c>
    </row>
    <row r="6">
      <c r="A6" s="17" t="s">
        <v>31</v>
      </c>
      <c r="B6" s="42">
        <v>10.492</v>
      </c>
      <c r="C6" s="42">
        <v>11.2566666666666</v>
      </c>
      <c r="D6" s="42">
        <v>10.0573333333333</v>
      </c>
      <c r="E6" s="42">
        <v>0.764666666666665</v>
      </c>
      <c r="F6" s="42">
        <v>-0.434666666666666</v>
      </c>
      <c r="G6" s="47"/>
      <c r="H6" s="17" t="s">
        <v>31</v>
      </c>
      <c r="I6" s="42">
        <v>6.69648148148148</v>
      </c>
      <c r="J6" s="42">
        <v>9.56636363636363</v>
      </c>
      <c r="K6" s="42">
        <v>5.02392473118279</v>
      </c>
      <c r="L6" s="42">
        <v>2.86988215488215</v>
      </c>
      <c r="M6" s="42">
        <v>-1.67255675029868</v>
      </c>
    </row>
    <row r="7">
      <c r="A7" s="17" t="s">
        <v>32</v>
      </c>
      <c r="B7" s="42">
        <v>8.40409356725146</v>
      </c>
      <c r="C7" s="42">
        <v>6.18505747126436</v>
      </c>
      <c r="D7" s="42">
        <v>7.19973544973544</v>
      </c>
      <c r="E7" s="42">
        <v>-2.21903609598709</v>
      </c>
      <c r="F7" s="42">
        <v>-1.20435811751601</v>
      </c>
      <c r="G7" s="47"/>
      <c r="H7" s="17" t="s">
        <v>32</v>
      </c>
      <c r="I7" s="42">
        <v>9.76001872659176</v>
      </c>
      <c r="J7" s="42">
        <v>6.37622432859399</v>
      </c>
      <c r="K7" s="42">
        <v>5.94136690647482</v>
      </c>
      <c r="L7" s="42">
        <v>-3.38379439799776</v>
      </c>
      <c r="M7" s="42">
        <v>-3.81865182011693</v>
      </c>
    </row>
    <row r="8">
      <c r="G8" s="47"/>
    </row>
    <row r="9">
      <c r="A9" s="15" t="s">
        <v>33</v>
      </c>
      <c r="B9" s="3"/>
      <c r="G9" s="47"/>
      <c r="H9" s="15" t="s">
        <v>33</v>
      </c>
      <c r="I9" s="3"/>
    </row>
    <row r="10">
      <c r="A10" s="17" t="s">
        <v>21</v>
      </c>
      <c r="B10" s="42">
        <v>2.98370276265375</v>
      </c>
      <c r="G10" s="47"/>
      <c r="H10" s="17" t="s">
        <v>21</v>
      </c>
      <c r="I10" s="42">
        <v>6.25367655287991</v>
      </c>
    </row>
    <row r="11">
      <c r="A11" s="17" t="s">
        <v>19</v>
      </c>
      <c r="B11" s="42">
        <v>0.769691450849347</v>
      </c>
      <c r="G11" s="48"/>
      <c r="H11" s="17" t="s">
        <v>19</v>
      </c>
      <c r="I11" s="42">
        <v>2.14609506981825</v>
      </c>
    </row>
    <row r="12">
      <c r="A12" s="2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>
      <c r="A13" s="49" t="s">
        <v>56</v>
      </c>
      <c r="B13" s="7"/>
      <c r="C13" s="7"/>
      <c r="D13" s="7"/>
      <c r="E13" s="7"/>
      <c r="F13" s="7"/>
      <c r="G13" s="7"/>
      <c r="H13" s="7"/>
      <c r="I13" s="8"/>
    </row>
    <row r="14">
      <c r="A14" s="9"/>
      <c r="I14" s="10"/>
    </row>
    <row r="15">
      <c r="A15" s="9"/>
      <c r="I15" s="10"/>
    </row>
    <row r="16">
      <c r="A16" s="9"/>
      <c r="I16" s="10"/>
    </row>
    <row r="17">
      <c r="A17" s="9"/>
      <c r="I17" s="10"/>
    </row>
    <row r="18">
      <c r="A18" s="9"/>
      <c r="I18" s="10"/>
    </row>
    <row r="19">
      <c r="A19" s="9"/>
      <c r="I19" s="10"/>
    </row>
    <row r="20">
      <c r="A20" s="11"/>
      <c r="B20" s="12"/>
      <c r="C20" s="12"/>
      <c r="D20" s="12"/>
      <c r="E20" s="12"/>
      <c r="F20" s="12"/>
      <c r="G20" s="12"/>
      <c r="H20" s="12"/>
      <c r="I20" s="13"/>
    </row>
  </sheetData>
  <mergeCells count="16">
    <mergeCell ref="A8:F8"/>
    <mergeCell ref="H8:M8"/>
    <mergeCell ref="A9:B9"/>
    <mergeCell ref="C9:F11"/>
    <mergeCell ref="A13:I20"/>
    <mergeCell ref="J13:M20"/>
    <mergeCell ref="H9:I9"/>
    <mergeCell ref="J9:M11"/>
    <mergeCell ref="A1:M1"/>
    <mergeCell ref="A2:M2"/>
    <mergeCell ref="A3:F3"/>
    <mergeCell ref="H3:M3"/>
    <mergeCell ref="A4:F4"/>
    <mergeCell ref="G4:G11"/>
    <mergeCell ref="H4:M4"/>
    <mergeCell ref="A12:M12"/>
  </mergeCells>
  <hyperlinks>
    <hyperlink r:id="rId1" location="gid=752354509" ref="A13"/>
  </hyperlinks>
  <drawing r:id="rId2"/>
</worksheet>
</file>